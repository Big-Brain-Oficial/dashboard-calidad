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1d03943ba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6b9e082ca9c64e15"/>
    <x:sheet xmlns:r="http://schemas.openxmlformats.org/officeDocument/2006/relationships" name="Sprint 2" sheetId="2" r:id="Re995d3033e5649e9"/>
    <x:sheet xmlns:r="http://schemas.openxmlformats.org/officeDocument/2006/relationships" name="Sprint 3" sheetId="3" r:id="Re2e4c582e11644a4"/>
    <x:sheet xmlns:r="http://schemas.openxmlformats.org/officeDocument/2006/relationships" name="Sprint 4" sheetId="4" r:id="R30d638495ec84086"/>
    <x:sheet xmlns:r="http://schemas.openxmlformats.org/officeDocument/2006/relationships" name="Sprint 5" sheetId="5" r:id="Rc9dac8ea7be145ca"/>
    <x:sheet xmlns:r="http://schemas.openxmlformats.org/officeDocument/2006/relationships" name="Sprint 6" sheetId="6" r:id="R1ca35704eeaa4089"/>
    <x:sheet xmlns:r="http://schemas.openxmlformats.org/officeDocument/2006/relationships" name="Resultados" sheetId="7" r:id="Rbc96a3e50d9b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0"/>
    <x:numFmt numFmtId="203" formatCode="0.0"/>
  </x:numFmts>
  <x:fonts count="6">
    <x:font>
      <x:sz val="11"/>
      <x:name val="Carlito"/>
    </x:font>
    <x:font>
      <x:sz val="10"/>
      <x:color rgb="FF20344D"/>
      <x:name val="Arial"/>
    </x:font>
    <x:font>
      <x:b/>
      <x:sz val="16"/>
      <x:color rgb="FF5C4490"/>
      <x:name val="Arial"/>
    </x:font>
    <x:font>
      <x:b/>
      <x:sz val="10"/>
      <x:color rgb="FFFFFFFF"/>
      <x:name val="Arial"/>
    </x:font>
    <x:font>
      <x:b/>
      <x:sz val="11"/>
      <x:color rgb="FF5C4490"/>
      <x:name val="Arial"/>
    </x:font>
    <x:font>
      <x:b/>
      <x:sz val="10"/>
      <x:color rgb="FF2034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93E5C"/>
      </x:patternFill>
    </x:fill>
    <x:fill>
      <x:patternFill patternType="solid">
        <x:fgColor rgb="FFFFF4D6"/>
      </x:patternFill>
    </x:fill>
    <x:fill>
      <x:patternFill patternType="solid">
        <x:fgColor rgb="FFF1F4F8"/>
      </x:patternFill>
    </x:fill>
    <x:fill>
      <x:patternFill patternType="solid">
        <x:fgColor rgb="FF293E5C"/>
      </x:patternFill>
    </x:fill>
    <x:fill>
      <x:patternFill patternType="solid">
        <x:fgColor rgb="FFF1F4F8"/>
      </x:patternFill>
    </x:fill>
    <x:fill>
      <x:patternFill patternType="solid">
        <x:fgColor rgb="FFF2ED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16748"/>
      </x:font>
      <x:fill>
        <x:patternFill patternType="solid">
          <x:bgColor rgb="FFE5F2EB"/>
        </x:patternFill>
      </x:fill>
    </x:dxf>
    <x:dxf>
      <x:font>
        <x:b/>
        <x:color rgb="FF244D84"/>
      </x:font>
      <x:fill>
        <x:patternFill patternType="solid">
          <x:bgColor rgb="FFE5EEF9"/>
        </x:patternFill>
      </x:fill>
    </x:dxf>
    <x:dxf>
      <x:font>
        <x:b/>
        <x:color rgb="FF926000"/>
      </x:font>
      <x:fill>
        <x:patternFill patternType="solid">
          <x:bgColor rgb="FFFFF1CC"/>
        </x:patternFill>
      </x:fill>
    </x:dxf>
    <x:dxf>
      <x:font>
        <x:b/>
        <x:color rgb="FFA92335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a61f053d6480d" /><Relationship Type="http://schemas.openxmlformats.org/officeDocument/2006/relationships/theme" Target="/xl/theme/theme1.xml" Id="R478a3493f36843b2" /><Relationship Type="http://schemas.openxmlformats.org/officeDocument/2006/relationships/sharedStrings" Target="/xl/sharedStrings.xml" Id="R8e376b0ec35c4705" /><Relationship Type="http://schemas.openxmlformats.org/officeDocument/2006/relationships/worksheet" Target="/xl/worksheets/sheet1.xml" Id="R6b9e082ca9c64e15" /><Relationship Type="http://schemas.openxmlformats.org/officeDocument/2006/relationships/worksheet" Target="/xl/worksheets/sheet2.xml" Id="Re995d3033e5649e9" /><Relationship Type="http://schemas.openxmlformats.org/officeDocument/2006/relationships/worksheet" Target="/xl/worksheets/sheet3.xml" Id="Re2e4c582e11644a4" /><Relationship Type="http://schemas.openxmlformats.org/officeDocument/2006/relationships/worksheet" Target="/xl/worksheets/sheet4.xml" Id="R30d638495ec84086" /><Relationship Type="http://schemas.openxmlformats.org/officeDocument/2006/relationships/worksheet" Target="/xl/worksheets/sheet5.xml" Id="Rc9dac8ea7be145ca" /><Relationship Type="http://schemas.openxmlformats.org/officeDocument/2006/relationships/worksheet" Target="/xl/worksheets/sheet6.xml" Id="R1ca35704eeaa4089" /><Relationship Type="http://schemas.openxmlformats.org/officeDocument/2006/relationships/worksheet" Target="/xl/worksheets/sheet7.xml" Id="Rbc96a3e50d9b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C449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1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S1-US1</x:v>
      </x:c>
      <x:c r="B6" s="7" t="str">
        <x:v>Como usuario, quiero agregar un producto para recordar qué comprar.</x:v>
      </x:c>
      <x:c r="C6" s="8" t="n">
        <x:v>3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S1-US2</x:v>
      </x:c>
      <x:c r="B7" s="7" t="str">
        <x:v>Como usuario, quiero ver los productos para consultar mi compra.</x:v>
      </x:c>
      <x:c r="C7" s="8" t="n">
        <x:v>3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S1-US3</x:v>
      </x:c>
      <x:c r="B8" s="7" t="str">
        <x:v>Como usuario, quiero marcar un producto como comprado para saber qué ya compré.</x:v>
      </x:c>
      <x:c r="C8" s="8" t="n">
        <x:v>2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S1-US4</x:v>
      </x:c>
      <x:c r="B9" s="7" t="str">
        <x:v>Como usuario, quiero desmarcar un producto para corregir una marca accidental.</x:v>
      </x:c>
      <x:c r="C9" s="8" t="n">
        <x:v>2</x:v>
      </x:c>
      <x:c r="D9" s="8" t="str">
        <x:v>Aceptada</x:v>
      </x:c>
      <x:c r="E9" s="2"/>
      <x:c r="F9" s="2"/>
      <x:c r="G9" s="2"/>
      <x:c r="H9" s="2"/>
    </x:row>
    <x:row r="10" ht="42" customHeight="1">
      <x:c r="A10" s="7" t="str">
        <x:v>S1-US5</x:v>
      </x:c>
      <x:c r="B10" s="7" t="str">
        <x:v>Como usuario, quiero eliminar un producto para quitar lo que no necesito.</x:v>
      </x:c>
      <x:c r="C10" s="8" t="n">
        <x:v>2</x:v>
      </x:c>
      <x:c r="D10" s="8" t="str">
        <x:v>Aceptada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1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5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1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5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0.5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5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0.5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6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6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3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6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2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1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12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1" t="n">
        <x:v>6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Satisfactorio</x:v>
      </x:c>
    </x:row>
    <x:row r="24" ht="25" customHeight="1">
      <x:c r="A24" s="2" t="str">
        <x:v>#SPTH2</x:v>
      </x:c>
      <x:c r="B24" s="2" t="str">
        <x:v>SP del sprint anterior 2</x:v>
      </x:c>
      <x:c r="C24" s="11" t="n">
        <x:v>6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Satisfactorio</x:v>
      </x:c>
    </x:row>
    <x:row r="25" ht="25" customHeight="1">
      <x:c r="A25" s="2" t="str">
        <x:v>#SPTH3</x:v>
      </x:c>
      <x:c r="B25" s="2" t="str">
        <x:v>SP del sprint anterior 3</x:v>
      </x:c>
      <x:c r="C25" s="11" t="n">
        <x:v>6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Insuficiente</x:v>
      </x:c>
    </x:row>
    <x:row r="26" ht="25" customHeight="1">
      <x:c r="A26" s="2" t="str">
        <x:v>#SPTH4</x:v>
      </x:c>
      <x:c r="B26" s="2" t="str">
        <x:v>SP del sprint anterior 4</x:v>
      </x:c>
      <x:c r="C26" s="11" t="n">
        <x:v>6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Insuficiente</x:v>
      </x:c>
    </x:row>
    <x:row r="27" ht="25" customHeight="1">
      <x:c r="A27" s="2" t="str">
        <x:v>#SPTH5</x:v>
      </x:c>
      <x:c r="B27" s="2" t="str">
        <x:v>SP del sprint anterior 5</x:v>
      </x:c>
      <x:c r="C27" s="11" t="n">
        <x:v>6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Baja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Alta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Desajuste de calidad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/>
      <x:c r="B31"/>
      <x:c r="C31"/>
      <x:c r="D31"/>
      <x:c r="E31"/>
      <x:c r="F31"/>
      <x:c r="G31"/>
      <x:c r="H31"/>
    </x:row>
    <x:row r="32" ht="25" customHeight="1">
      <x:c r="A32"/>
      <x:c r="B32"/>
      <x:c r="C32"/>
      <x:c r="D32"/>
      <x:c r="E32"/>
      <x:c r="F32"/>
      <x:c r="G32"/>
      <x:c r="H32"/>
    </x:row>
    <x:row r="33" ht="25" customHeight="1">
      <x:c r="A33"/>
      <x:c r="B33"/>
      <x:c r="C33"/>
      <x:c r="D33"/>
      <x:c r="E33"/>
      <x:c r="F33"/>
      <x:c r="G33"/>
      <x:c r="H33"/>
    </x:row>
    <x:row r="34" ht="25" customHeight="1">
      <x:c r="A34"/>
      <x:c r="B34"/>
      <x:c r="C34"/>
      <x:c r="D34"/>
      <x:c r="E34"/>
      <x:c r="F34"/>
      <x:c r="G34"/>
      <x:c r="H34"/>
    </x:row>
    <x:row r="35" ht="25" customHeight="1">
      <x:c r="A35"/>
      <x:c r="B35"/>
      <x:c r="C35"/>
      <x:c r="D35"/>
      <x:c r="E35"/>
      <x:c r="F35"/>
      <x:c r="G35"/>
      <x:c r="H35"/>
    </x:row>
    <x:row r="36" ht="25" customHeight="1">
      <x:c r="A36"/>
      <x:c r="B36"/>
      <x:c r="C36"/>
      <x:c r="D36"/>
      <x:c r="E36"/>
      <x:c r="F36"/>
      <x:c r="G36"/>
      <x:c r="H36"/>
    </x:row>
    <x:row r="37" ht="25" customHeight="1">
      <x:c r="A37"/>
      <x:c r="B37"/>
      <x:c r="C37"/>
      <x:c r="D37"/>
      <x:c r="E37"/>
      <x:c r="F37"/>
      <x:c r="G37"/>
      <x:c r="H37"/>
    </x:row>
    <x:row r="38" ht="25" customHeight="1">
      <x:c r="A38"/>
      <x:c r="B38"/>
      <x:c r="C38"/>
      <x:c r="D38"/>
      <x:c r="E38"/>
      <x:c r="F38"/>
      <x:c r="G38"/>
      <x:c r="H38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3E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2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S2-US1</x:v>
      </x:c>
      <x:c r="B6" s="7" t="str">
        <x:v>Como usuario, quiero editar el nombre de un producto para corregir un error.</x:v>
      </x:c>
      <x:c r="C6" s="8" t="n">
        <x:v>2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S2-US2</x:v>
      </x:c>
      <x:c r="B7" s="7" t="str">
        <x:v>Como usuario, quiero buscar un producto por nombre para encontrarlo rápido.</x:v>
      </x:c>
      <x:c r="C7" s="8" t="n">
        <x:v>2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S2-US3</x:v>
      </x:c>
      <x:c r="B8" s="7" t="str">
        <x:v>Como usuario, quiero ver solo productos pendientes para ver qué falta comprar.</x:v>
      </x:c>
      <x:c r="C8" s="8" t="n">
        <x:v>2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S2-US4</x:v>
      </x:c>
      <x:c r="B9" s="7" t="str">
        <x:v>Como usuario, quiero ver solo productos comprados para revisar lo comprado.</x:v>
      </x:c>
      <x:c r="C9" s="8" t="n">
        <x:v>1</x:v>
      </x:c>
      <x:c r="D9" s="8" t="str">
        <x:v>Aceptada</x:v>
      </x:c>
      <x:c r="E9" s="2"/>
      <x:c r="F9" s="2"/>
      <x:c r="G9" s="2"/>
      <x:c r="H9" s="2"/>
    </x:row>
    <x:row r="10" ht="42" customHeight="1">
      <x:c r="A10" s="7" t="str">
        <x:v>S2-US5</x:v>
      </x:c>
      <x:c r="B10" s="7" t="str">
        <x:v>Como usuario, quiero ver la cantidad de pendientes para conocer cuántos faltan.</x:v>
      </x:c>
      <x:c r="C10" s="8" t="n">
        <x:v>1</x:v>
      </x:c>
      <x:c r="D10" s="8" t="str">
        <x:v>Aceptada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1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5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1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5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1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5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1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2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7.2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2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0.7999999999999998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2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0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8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2" t="n">
        <x:f>'Sprint 1'!C22</x:f>
        <x:v>12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Satisfactorio</x:v>
      </x:c>
    </x:row>
    <x:row r="24" ht="25" customHeight="1">
      <x:c r="A24" s="2" t="str">
        <x:v>#SPTH2</x:v>
      </x:c>
      <x:c r="B24" s="2" t="str">
        <x:v>SP del sprint anterior 2</x:v>
      </x:c>
      <x:c r="C24" s="12" t="n">
        <x:f>'Sprint 1'!C23</x:f>
        <x:v>6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Satisfactorio</x:v>
      </x:c>
    </x:row>
    <x:row r="25" ht="25" customHeight="1">
      <x:c r="A25" s="2" t="str">
        <x:v>#SPTH3</x:v>
      </x:c>
      <x:c r="B25" s="2" t="str">
        <x:v>SP del sprint anterior 3</x:v>
      </x:c>
      <x:c r="C25" s="12" t="n">
        <x:f>'Sprint 1'!C24</x:f>
        <x:v>6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Satisfactorio</x:v>
      </x:c>
    </x:row>
    <x:row r="26" ht="25" customHeight="1">
      <x:c r="A26" s="2" t="str">
        <x:v>#SPTH4</x:v>
      </x:c>
      <x:c r="B26" s="2" t="str">
        <x:v>SP del sprint anterior 4</x:v>
      </x:c>
      <x:c r="C26" s="12" t="n">
        <x:f>'Sprint 1'!C25</x:f>
        <x:v>6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Satisfactorio</x:v>
      </x:c>
    </x:row>
    <x:row r="27" ht="25" customHeight="1">
      <x:c r="A27" s="2" t="str">
        <x:v>#SPTH5</x:v>
      </x:c>
      <x:c r="B27" s="2" t="str">
        <x:v>SP del sprint anterior 5</x:v>
      </x:c>
      <x:c r="C27" s="12" t="n">
        <x:f>'Sprint 1'!C26</x:f>
        <x:v>6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Alta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Promedio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Calidad sostenida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93E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3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S3-US1</x:v>
      </x:c>
      <x:c r="B6" s="7" t="str">
        <x:v>Como usuario, quiero ordenar productos por nombre para leerlos en orden.</x:v>
      </x:c>
      <x:c r="C6" s="8" t="n">
        <x:v>3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S3-US2</x:v>
      </x:c>
      <x:c r="B7" s="7" t="str">
        <x:v>Como usuario, quiero ver un mensaje si la lista está vacía para saber que no hay productos.</x:v>
      </x:c>
      <x:c r="C7" s="8" t="n">
        <x:v>3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S3-US3</x:v>
      </x:c>
      <x:c r="B8" s="7" t="str">
        <x:v>Como usuario, quiero confirmar antes de borrar para evitar un borrado accidental.</x:v>
      </x:c>
      <x:c r="C8" s="8" t="n">
        <x:v>3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S3-US4</x:v>
      </x:c>
      <x:c r="B9" s="7" t="str">
        <x:v>Como usuario, quiero ver un aviso al guardar para saber que se guardó el producto.</x:v>
      </x:c>
      <x:c r="C9" s="8" t="n">
        <x:v>2</x:v>
      </x:c>
      <x:c r="D9" s="8" t="str">
        <x:v>Pendiente</x:v>
      </x:c>
      <x:c r="E9" s="2"/>
      <x:c r="F9" s="2"/>
      <x:c r="G9" s="2"/>
      <x:c r="H9" s="2"/>
    </x:row>
    <x:row r="10" ht="42" customHeight="1">
      <x:c r="A10" s="7" t="str">
        <x:v>S3-US5</x:v>
      </x:c>
      <x:c r="B10" s="7" t="str">
        <x:v>Como usuario, quiero ver la cantidad total de productos para conocer el tamaño de la lista.</x:v>
      </x:c>
      <x:c r="C10" s="8" t="n">
        <x:v>1</x:v>
      </x:c>
      <x:c r="D10" s="8" t="str">
        <x:v>Pendiente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0.6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3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0.75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4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0.75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3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0.6666666666666666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4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7.6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3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1.4000000000000004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3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1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9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2" t="n">
        <x:f>'Sprint 2'!C22</x:f>
        <x:v>8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Atención</x:v>
      </x:c>
    </x:row>
    <x:row r="24" ht="25" customHeight="1">
      <x:c r="A24" s="2" t="str">
        <x:v>#SPTH2</x:v>
      </x:c>
      <x:c r="B24" s="2" t="str">
        <x:v>SP del sprint anterior 2</x:v>
      </x:c>
      <x:c r="C24" s="12" t="n">
        <x:f>'Sprint 2'!C23</x:f>
        <x:v>12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Atención</x:v>
      </x:c>
    </x:row>
    <x:row r="25" ht="25" customHeight="1">
      <x:c r="A25" s="2" t="str">
        <x:v>#SPTH3</x:v>
      </x:c>
      <x:c r="B25" s="2" t="str">
        <x:v>SP del sprint anterior 3</x:v>
      </x:c>
      <x:c r="C25" s="12" t="n">
        <x:f>'Sprint 2'!C24</x:f>
        <x:v>6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Atención</x:v>
      </x:c>
    </x:row>
    <x:row r="26" ht="25" customHeight="1">
      <x:c r="A26" s="2" t="str">
        <x:v>#SPTH4</x:v>
      </x:c>
      <x:c r="B26" s="2" t="str">
        <x:v>SP del sprint anterior 4</x:v>
      </x:c>
      <x:c r="C26" s="12" t="n">
        <x:f>'Sprint 2'!C25</x:f>
        <x:v>6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Atención</x:v>
      </x:c>
    </x:row>
    <x:row r="27" ht="25" customHeight="1">
      <x:c r="A27" s="2" t="str">
        <x:v>#SPTH5</x:v>
      </x:c>
      <x:c r="B27" s="2" t="str">
        <x:v>SP del sprint anterior 5</x:v>
      </x:c>
      <x:c r="C27" s="12" t="n">
        <x:f>'Sprint 2'!C26</x:f>
        <x:v>6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En atención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Promedio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Desempeño en alerta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3E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4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S4-US1</x:v>
      </x:c>
      <x:c r="B6" s="7" t="str">
        <x:v>Como usuario, quiero indicar la cantidad de un producto para anotar cuántas unidades comprar.</x:v>
      </x:c>
      <x:c r="C6" s="8" t="n">
        <x:v>3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S4-US2</x:v>
      </x:c>
      <x:c r="B7" s="7" t="str">
        <x:v>Como usuario, quiero aumentar una cantidad en uno para sumar una unidad.</x:v>
      </x:c>
      <x:c r="C7" s="8" t="n">
        <x:v>3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S4-US3</x:v>
      </x:c>
      <x:c r="B8" s="7" t="str">
        <x:v>Como usuario, quiero disminuir una cantidad en uno para restar una unidad.</x:v>
      </x:c>
      <x:c r="C8" s="8" t="n">
        <x:v>3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S4-US4</x:v>
      </x:c>
      <x:c r="B9" s="7" t="str">
        <x:v>Como usuario, quiero escribir una nota en un producto para recordar un detalle.</x:v>
      </x:c>
      <x:c r="C9" s="8" t="n">
        <x:v>2</x:v>
      </x:c>
      <x:c r="D9" s="8" t="str">
        <x:v>Aceptada</x:v>
      </x:c>
      <x:c r="E9" s="2"/>
      <x:c r="F9" s="2"/>
      <x:c r="G9" s="2"/>
      <x:c r="H9" s="2"/>
    </x:row>
    <x:row r="10" ht="42" customHeight="1">
      <x:c r="A10" s="7" t="str">
        <x:v>S4-US5</x:v>
      </x:c>
      <x:c r="B10" s="7" t="str">
        <x:v>Como usuario, quiero borrar la nota de un producto para quitar un detalle viejo.</x:v>
      </x:c>
      <x:c r="C10" s="8" t="n">
        <x:v>2</x:v>
      </x:c>
      <x:c r="D10" s="8" t="str">
        <x:v>Aceptada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1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5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1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5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0.8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5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1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5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8.2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4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4.800000000000001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2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0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13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2" t="n">
        <x:f>'Sprint 3'!C22</x:f>
        <x:v>9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Satisfactorio</x:v>
      </x:c>
    </x:row>
    <x:row r="24" ht="25" customHeight="1">
      <x:c r="A24" s="2" t="str">
        <x:v>#SPTH2</x:v>
      </x:c>
      <x:c r="B24" s="2" t="str">
        <x:v>SP del sprint anterior 2</x:v>
      </x:c>
      <x:c r="C24" s="12" t="n">
        <x:f>'Sprint 3'!C23</x:f>
        <x:v>8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Satisfactorio</x:v>
      </x:c>
    </x:row>
    <x:row r="25" ht="25" customHeight="1">
      <x:c r="A25" s="2" t="str">
        <x:v>#SPTH3</x:v>
      </x:c>
      <x:c r="B25" s="2" t="str">
        <x:v>SP del sprint anterior 3</x:v>
      </x:c>
      <x:c r="C25" s="12" t="n">
        <x:f>'Sprint 3'!C24</x:f>
        <x:v>12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Adecuado</x:v>
      </x:c>
    </x:row>
    <x:row r="26" ht="25" customHeight="1">
      <x:c r="A26" s="2" t="str">
        <x:v>#SPTH4</x:v>
      </x:c>
      <x:c r="B26" s="2" t="str">
        <x:v>SP del sprint anterior 4</x:v>
      </x:c>
      <x:c r="C26" s="12" t="n">
        <x:f>'Sprint 3'!C25</x:f>
        <x:v>6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Satisfactorio</x:v>
      </x:c>
    </x:row>
    <x:row r="27" ht="25" customHeight="1">
      <x:c r="A27" s="2" t="str">
        <x:v>#SPTH5</x:v>
      </x:c>
      <x:c r="B27" s="2" t="str">
        <x:v>SP del sprint anterior 5</x:v>
      </x:c>
      <x:c r="C27" s="12" t="n">
        <x:f>'Sprint 3'!C26</x:f>
        <x:v>6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Adecuada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Alta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Concordancia adecuada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93E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5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S5-US1</x:v>
      </x:c>
      <x:c r="B6" s="7" t="str">
        <x:v>Como usuario, quiero ver un título en la pantalla para reconocer mi lista.</x:v>
      </x:c>
      <x:c r="C6" s="8" t="n">
        <x:v>1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S5-US2</x:v>
      </x:c>
      <x:c r="B7" s="7" t="str">
        <x:v>Como usuario, quiero ver el texto Agregar en el botón para entender su acción.</x:v>
      </x:c>
      <x:c r="C7" s="8" t="n">
        <x:v>1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S5-US3</x:v>
      </x:c>
      <x:c r="B8" s="7" t="str">
        <x:v>Como usuario, quiero ver un ejemplo en el campo nombre para saber qué escribir.</x:v>
      </x:c>
      <x:c r="C8" s="8" t="n">
        <x:v>1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S5-US4</x:v>
      </x:c>
      <x:c r="B9" s="7" t="str">
        <x:v>Como usuario, quiero ver la palabra Pendiente junto a un producto para leer su estado.</x:v>
      </x:c>
      <x:c r="C9" s="8" t="n">
        <x:v>1</x:v>
      </x:c>
      <x:c r="D9" s="8" t="str">
        <x:v>Aceptada</x:v>
      </x:c>
      <x:c r="E9" s="2"/>
      <x:c r="F9" s="2"/>
      <x:c r="G9" s="2"/>
      <x:c r="H9" s="2"/>
    </x:row>
    <x:row r="10" ht="42" customHeight="1">
      <x:c r="A10" s="7" t="str">
        <x:v>S5-US5</x:v>
      </x:c>
      <x:c r="B10" s="7" t="str">
        <x:v>Como usuario, quiero ver la palabra Comprado junto a un producto para leer su estado.</x:v>
      </x:c>
      <x:c r="C10" s="8" t="n">
        <x:v>1</x:v>
      </x:c>
      <x:c r="D10" s="8" t="str">
        <x:v>Aceptada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1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5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1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5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1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5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1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2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9.6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2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-4.6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2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0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5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2" t="n">
        <x:f>'Sprint 4'!C22</x:f>
        <x:v>13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Satisfactorio</x:v>
      </x:c>
    </x:row>
    <x:row r="24" ht="25" customHeight="1">
      <x:c r="A24" s="2" t="str">
        <x:v>#SPTH2</x:v>
      </x:c>
      <x:c r="B24" s="2" t="str">
        <x:v>SP del sprint anterior 2</x:v>
      </x:c>
      <x:c r="C24" s="12" t="n">
        <x:f>'Sprint 4'!C23</x:f>
        <x:v>9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Satisfactorio</x:v>
      </x:c>
    </x:row>
    <x:row r="25" ht="25" customHeight="1">
      <x:c r="A25" s="2" t="str">
        <x:v>#SPTH3</x:v>
      </x:c>
      <x:c r="B25" s="2" t="str">
        <x:v>SP del sprint anterior 3</x:v>
      </x:c>
      <x:c r="C25" s="12" t="n">
        <x:f>'Sprint 4'!C24</x:f>
        <x:v>8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Satisfactorio</x:v>
      </x:c>
    </x:row>
    <x:row r="26" ht="25" customHeight="1">
      <x:c r="A26" s="2" t="str">
        <x:v>#SPTH4</x:v>
      </x:c>
      <x:c r="B26" s="2" t="str">
        <x:v>SP del sprint anterior 4</x:v>
      </x:c>
      <x:c r="C26" s="12" t="n">
        <x:f>'Sprint 4'!C25</x:f>
        <x:v>12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Satisfactorio</x:v>
      </x:c>
    </x:row>
    <x:row r="27" ht="25" customHeight="1">
      <x:c r="A27" s="2" t="str">
        <x:v>#SPTH5</x:v>
      </x:c>
      <x:c r="B27" s="2" t="str">
        <x:v>SP del sprint anterior 5</x:v>
      </x:c>
      <x:c r="C27" s="12" t="n">
        <x:f>'Sprint 4'!C26</x:f>
        <x:v>6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Alta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Baja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Calidad sostenida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93E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47.5" hidden="0" customWidth="1"/>
    <x:col min="3" max="3" width="9.380000114440918" hidden="0" customWidth="1"/>
    <x:col min="4" max="4" width="15.630000114440918" hidden="0" customWidth="1"/>
    <x:col min="5" max="5" width="3" hidden="0" customWidth="1"/>
    <x:col min="6" max="6" width="10.630000114440918" hidden="0" customWidth="1"/>
    <x:col min="7" max="7" width="41.25" hidden="0" customWidth="1"/>
    <x:col min="8" max="8" width="26.879999160766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Sprint 6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Dataset simulado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ID</x:v>
      </x:c>
      <x:c r="B5" s="6" t="str">
        <x:v>Historia de usuario</x:v>
      </x:c>
      <x:c r="C5" s="6" t="str">
        <x:v>SP</x:v>
      </x:c>
      <x:c r="D5" s="6" t="str">
        <x:v>Estado</x:v>
      </x:c>
      <x:c r="E5" s="2"/>
      <x:c r="F5" s="2"/>
      <x:c r="G5" s="2"/>
      <x:c r="H5" s="2"/>
    </x:row>
    <x:row r="6" ht="42" customHeight="1">
      <x:c r="A6" s="7" t="str">
        <x:v>S6-US1</x:v>
      </x:c>
      <x:c r="B6" s="7" t="str">
        <x:v>Como usuario, quiero marcar todos los productos como comprados para actualizar la lista de una vez.</x:v>
      </x:c>
      <x:c r="C6" s="8" t="n">
        <x:v>3</x:v>
      </x:c>
      <x:c r="D6" s="8" t="str">
        <x:v>Aceptada</x:v>
      </x:c>
      <x:c r="E6" s="2"/>
      <x:c r="F6" s="2"/>
      <x:c r="G6" s="2"/>
      <x:c r="H6" s="2"/>
    </x:row>
    <x:row r="7" ht="42" customHeight="1">
      <x:c r="A7" s="7" t="str">
        <x:v>S6-US2</x:v>
      </x:c>
      <x:c r="B7" s="7" t="str">
        <x:v>Como usuario, quiero desmarcar todos los productos para reutilizar mi lista.</x:v>
      </x:c>
      <x:c r="C7" s="8" t="n">
        <x:v>3</x:v>
      </x:c>
      <x:c r="D7" s="8" t="str">
        <x:v>Aceptada</x:v>
      </x:c>
      <x:c r="E7" s="2"/>
      <x:c r="F7" s="2"/>
      <x:c r="G7" s="2"/>
      <x:c r="H7" s="2"/>
    </x:row>
    <x:row r="8" ht="42" customHeight="1">
      <x:c r="A8" s="7" t="str">
        <x:v>S6-US3</x:v>
      </x:c>
      <x:c r="B8" s="7" t="str">
        <x:v>Como usuario, quiero borrar todos los productos comprados para limpiar lo ya comprado.</x:v>
      </x:c>
      <x:c r="C8" s="8" t="n">
        <x:v>2</x:v>
      </x:c>
      <x:c r="D8" s="8" t="str">
        <x:v>Aceptada</x:v>
      </x:c>
      <x:c r="E8" s="2"/>
      <x:c r="F8" s="2"/>
      <x:c r="G8" s="2"/>
      <x:c r="H8" s="2"/>
    </x:row>
    <x:row r="9" ht="42" customHeight="1">
      <x:c r="A9" s="7" t="str">
        <x:v>S6-US4</x:v>
      </x:c>
      <x:c r="B9" s="7" t="str">
        <x:v>Como usuario, quiero vaciar la lista con confirmación para comenzar una lista nueva.</x:v>
      </x:c>
      <x:c r="C9" s="8" t="n">
        <x:v>2</x:v>
      </x:c>
      <x:c r="D9" s="8" t="str">
        <x:v>Aceptada</x:v>
      </x:c>
      <x:c r="E9" s="2"/>
      <x:c r="F9" s="2"/>
      <x:c r="G9" s="2"/>
      <x:c r="H9" s="2"/>
    </x:row>
    <x:row r="10" ht="42" customHeight="1">
      <x:c r="A10" s="7" t="str">
        <x:v>S6-US5</x:v>
      </x:c>
      <x:c r="B10" s="7" t="str">
        <x:v>Como usuario, quiero quitar el filtro de búsqueda para volver a ver toda la lista.</x:v>
      </x:c>
      <x:c r="C10" s="8" t="n">
        <x:v>2</x:v>
      </x:c>
      <x:c r="D10" s="8" t="str">
        <x:v>Aceptada</x:v>
      </x:c>
      <x:c r="E10" s="2"/>
      <x:c r="F10" s="2"/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9" t="str">
        <x:v>Métricas directas</x:v>
      </x:c>
      <x:c r="B12" s="9"/>
      <x:c r="C12" s="9"/>
      <x:c r="D12" s="9"/>
      <x:c r="E12" s="2"/>
      <x:c r="F12" s="9" t="str">
        <x:v>Métricas indirectas</x:v>
      </x:c>
      <x:c r="G12" s="9"/>
      <x:c r="H12" s="9"/>
    </x:row>
    <x:row r="13" ht="30" customHeight="1">
      <x:c r="A13" s="6" t="str">
        <x:v>Código</x:v>
      </x:c>
      <x:c r="B13" s="6" t="str">
        <x:v>Métrica</x:v>
      </x:c>
      <x:c r="C13" s="6" t="str">
        <x:v>Valor</x:v>
      </x:c>
      <x:c r="D13" s="6" t="str">
        <x:v>Unidad</x:v>
      </x:c>
      <x:c r="E13" s="2"/>
      <x:c r="F13" s="6" t="str">
        <x:v>Código</x:v>
      </x:c>
      <x:c r="G13" s="6" t="str">
        <x:v>Métrica</x:v>
      </x:c>
      <x:c r="H13" s="6" t="str">
        <x:v>Valor</x:v>
      </x:c>
    </x:row>
    <x:row r="14" ht="25" customHeight="1">
      <x:c r="A14" s="2" t="str">
        <x:v>#USE</x:v>
      </x:c>
      <x:c r="B14" s="2" t="str">
        <x:v>Historias comprometidas</x:v>
      </x:c>
      <x:c r="C14" s="12" t="n">
        <x:f>COUNTA(A6:A10)</x:f>
        <x:v>5</x:v>
      </x:c>
      <x:c r="D14" s="2" t="str">
        <x:v>Historias</x:v>
      </x:c>
      <x:c r="E14" s="2"/>
      <x:c r="F14" s="2" t="str">
        <x:v>GCF</x:v>
      </x:c>
      <x:c r="G14" s="2" t="str">
        <x:v>Cobertura funcional comprometida</x:v>
      </x:c>
      <x:c r="H14" s="16" t="n">
        <x:f>IF(C14=0,"No evaluable",C15/C14)</x:f>
        <x:v>1</x:v>
      </x:c>
    </x:row>
    <x:row r="15" ht="25" customHeight="1">
      <x:c r="A15" s="2" t="str">
        <x:v>#USAC</x:v>
      </x:c>
      <x:c r="B15" s="2" t="str">
        <x:v>Historias terminadas y aceptadas</x:v>
      </x:c>
      <x:c r="C15" s="12" t="n">
        <x:f>COUNTIFS(D6:D10,"Aceptada")</x:f>
        <x:v>5</x:v>
      </x:c>
      <x:c r="D15" s="2" t="str">
        <x:v>Historias</x:v>
      </x:c>
      <x:c r="E15" s="2"/>
      <x:c r="F15" s="2" t="str">
        <x:v>ICF</x:v>
      </x:c>
      <x:c r="G15" s="2" t="str">
        <x:v>Conformidad funcional</x:v>
      </x:c>
      <x:c r="H15" s="17" t="n">
        <x:f>IF(C16=0,"No evaluable",C17/C16)</x:f>
        <x:v>1</x:v>
      </x:c>
    </x:row>
    <x:row r="16" ht="25" customHeight="1">
      <x:c r="A16" s="2" t="str">
        <x:v>#USVF</x:v>
      </x:c>
      <x:c r="B16" s="2" t="str">
        <x:v>Historias verificadas</x:v>
      </x:c>
      <x:c r="C16" s="11" t="n">
        <x:v>5</x:v>
      </x:c>
      <x:c r="D16" s="2" t="str">
        <x:v>Historias</x:v>
      </x:c>
      <x:c r="E16" s="2"/>
      <x:c r="F16" s="2" t="str">
        <x:v>EDD</x:v>
      </x:c>
      <x:c r="G16" s="2" t="str">
        <x:v>Efectividad del diagnóstico</x:v>
      </x:c>
      <x:c r="H16" s="17" t="n">
        <x:f>IF(C18=0,"No evaluable",C19/C18)</x:f>
        <x:v>1</x:v>
      </x:c>
    </x:row>
    <x:row r="17" ht="25" customHeight="1">
      <x:c r="A17" s="2" t="str">
        <x:v>#USCAF</x:v>
      </x:c>
      <x:c r="B17" s="2" t="str">
        <x:v>Historias conformes</x:v>
      </x:c>
      <x:c r="C17" s="11" t="n">
        <x:v>5</x:v>
      </x:c>
      <x:c r="D17" s="2" t="str">
        <x:v>Historias</x:v>
      </x:c>
      <x:c r="E17" s="2"/>
      <x:c r="F17" s="2" t="str">
        <x:v>IMSD</x:v>
      </x:c>
      <x:c r="G17" s="2" t="str">
        <x:v>Modificaciones sin degradación</x:v>
      </x:c>
      <x:c r="H17" s="16" t="n">
        <x:f>IF(C20=0,"No evaluable",(C20-C21)/C20)</x:f>
        <x:v>1</x:v>
      </x:c>
    </x:row>
    <x:row r="18" ht="25" customHeight="1">
      <x:c r="A18" s="2" t="str">
        <x:v>#DEFE</x:v>
      </x:c>
      <x:c r="B18" s="2" t="str">
        <x:v>Defectos elegibles</x:v>
      </x:c>
      <x:c r="C18" s="11" t="n">
        <x:v>3</x:v>
      </x:c>
      <x:c r="D18" s="2" t="str">
        <x:v>Defectos</x:v>
      </x:c>
      <x:c r="E18" s="2"/>
      <x:c r="F18" s="2" t="str">
        <x:v>VPH</x:v>
      </x:c>
      <x:c r="G18" s="2" t="str">
        <x:v>Velocidad promedio histórica</x:v>
      </x:c>
      <x:c r="H18" s="18" t="n">
        <x:f>AVERAGE(C23:C27)</x:f>
        <x:v>9.4</x:v>
      </x:c>
    </x:row>
    <x:row r="19" ht="25" customHeight="1">
      <x:c r="A19" s="2" t="str">
        <x:v>#DEFT</x:v>
      </x:c>
      <x:c r="B19" s="2" t="str">
        <x:v>Defectos diagnosticados en plazo</x:v>
      </x:c>
      <x:c r="C19" s="11" t="n">
        <x:v>3</x:v>
      </x:c>
      <x:c r="D19" s="2" t="str">
        <x:v>Defectos</x:v>
      </x:c>
      <x:c r="E19" s="2"/>
      <x:c r="F19" s="2" t="str">
        <x:v>VVR</x:v>
      </x:c>
      <x:c r="G19" s="2" t="str">
        <x:v>Variación de velocidad</x:v>
      </x:c>
      <x:c r="H19" s="18" t="n">
        <x:f>C22-H18</x:f>
        <x:v>2.5999999999999996</x:v>
      </x:c>
    </x:row>
    <x:row r="20" ht="25" customHeight="1">
      <x:c r="A20" s="2" t="str">
        <x:v>#USM</x:v>
      </x:c>
      <x:c r="B20" s="2" t="str">
        <x:v>Historias modificadas</x:v>
      </x:c>
      <x:c r="C20" s="11" t="n">
        <x:v>2</x:v>
      </x:c>
      <x:c r="D20" s="2" t="str">
        <x:v>Historias</x:v>
      </x:c>
      <x:c r="E20" s="2"/>
      <x:c r="F20" s="2"/>
      <x:c r="G20" s="2"/>
      <x:c r="H20" s="2"/>
    </x:row>
    <x:row r="21" ht="25" customHeight="1">
      <x:c r="A21" s="2" t="str">
        <x:v>#USMD</x:v>
      </x:c>
      <x:c r="B21" s="2" t="str">
        <x:v>Historias modificadas degradadas</x:v>
      </x:c>
      <x:c r="C21" s="11" t="n">
        <x:v>0</x:v>
      </x:c>
      <x:c r="D21" s="2" t="str">
        <x:v>Historias</x:v>
      </x:c>
      <x:c r="E21" s="2"/>
      <x:c r="F21" s="9" t="str">
        <x:v>Indicadores</x:v>
      </x:c>
      <x:c r="G21" s="9"/>
      <x:c r="H21" s="9"/>
    </x:row>
    <x:row r="22" ht="30" customHeight="1">
      <x:c r="A22" s="2" t="str">
        <x:v>#SPT</x:v>
      </x:c>
      <x:c r="B22" s="2" t="str">
        <x:v>SP terminados</x:v>
      </x:c>
      <x:c r="C22" s="12" t="n">
        <x:f>SUMIFS(C6:C10,D6:D10,"Aceptada")</x:f>
        <x:v>12</x:v>
      </x:c>
      <x:c r="D22" s="2" t="str">
        <x:v>SP</x:v>
      </x:c>
      <x:c r="E22" s="2"/>
      <x:c r="F22" s="6" t="str"/>
      <x:c r="G22" s="6" t="str">
        <x:v>Indicador</x:v>
      </x:c>
      <x:c r="H22" s="6" t="str">
        <x:v>Resultado</x:v>
      </x:c>
    </x:row>
    <x:row r="23" ht="25" customHeight="1">
      <x:c r="A23" s="2" t="str">
        <x:v>#SPTH1</x:v>
      </x:c>
      <x:c r="B23" s="2" t="str">
        <x:v>SP del sprint anterior 1</x:v>
      </x:c>
      <x:c r="C23" s="12" t="n">
        <x:f>'Sprint 5'!C22</x:f>
        <x:v>5</x:v>
      </x:c>
      <x:c r="D23" s="2" t="str">
        <x:v>SP</x:v>
      </x:c>
      <x:c r="E23" s="2"/>
      <x:c r="F23" s="2"/>
      <x:c r="G23" s="2" t="str">
        <x:v>Completitud funcional</x:v>
      </x:c>
      <x:c r="H23" s="20" t="str">
        <x:f>IF(ISNUMBER(H14),IF(H14&gt;=0.9,"Satisfactorio",IF(H14&gt;=0.8,"Adecuado",IF(H14&gt;=0.6,"Atención","Insuficiente"))),"No evaluable")</x:f>
        <x:v>Satisfactorio</x:v>
      </x:c>
    </x:row>
    <x:row r="24" ht="25" customHeight="1">
      <x:c r="A24" s="2" t="str">
        <x:v>#SPTH2</x:v>
      </x:c>
      <x:c r="B24" s="2" t="str">
        <x:v>SP del sprint anterior 2</x:v>
      </x:c>
      <x:c r="C24" s="12" t="n">
        <x:f>'Sprint 5'!C23</x:f>
        <x:v>13</x:v>
      </x:c>
      <x:c r="D24" s="2" t="str">
        <x:v>SP</x:v>
      </x:c>
      <x:c r="E24" s="2"/>
      <x:c r="F24" s="2"/>
      <x:c r="G24" s="2" t="str">
        <x:v>Corrección funcional</x:v>
      </x:c>
      <x:c r="H24" s="20" t="str">
        <x:f>IF(ISNUMBER(H15),IF(H15&gt;=0.9,"Satisfactorio",IF(H15&gt;=0.8,"Adecuado",IF(H15&gt;=0.65,"Atención","Insuficiente"))),"No evaluable")</x:f>
        <x:v>Satisfactorio</x:v>
      </x:c>
    </x:row>
    <x:row r="25" ht="25" customHeight="1">
      <x:c r="A25" s="2" t="str">
        <x:v>#SPTH3</x:v>
      </x:c>
      <x:c r="B25" s="2" t="str">
        <x:v>SP del sprint anterior 3</x:v>
      </x:c>
      <x:c r="C25" s="12" t="n">
        <x:f>'Sprint 5'!C24</x:f>
        <x:v>9</x:v>
      </x:c>
      <x:c r="D25" s="2" t="str">
        <x:v>SP</x:v>
      </x:c>
      <x:c r="E25" s="2"/>
      <x:c r="F25" s="2"/>
      <x:c r="G25" s="2" t="str">
        <x:v>Analizabilidad</x:v>
      </x:c>
      <x:c r="H25" s="20" t="str">
        <x:f>IF(ISNUMBER(H16),IF(H16&gt;=0.9,"Satisfactorio",IF(H16&gt;=0.8,"Adecuado",IF(H16&gt;=0.65,"Atención","Insuficiente"))),"No evaluable")</x:f>
        <x:v>Satisfactorio</x:v>
      </x:c>
    </x:row>
    <x:row r="26" ht="25" customHeight="1">
      <x:c r="A26" s="2" t="str">
        <x:v>#SPTH4</x:v>
      </x:c>
      <x:c r="B26" s="2" t="str">
        <x:v>SP del sprint anterior 4</x:v>
      </x:c>
      <x:c r="C26" s="12" t="n">
        <x:f>'Sprint 5'!C25</x:f>
        <x:v>8</x:v>
      </x:c>
      <x:c r="D26" s="2" t="str">
        <x:v>SP</x:v>
      </x:c>
      <x:c r="E26" s="2"/>
      <x:c r="F26" s="2"/>
      <x:c r="G26" s="2" t="str">
        <x:v>Modificabilidad</x:v>
      </x:c>
      <x:c r="H26" s="20" t="str">
        <x:f>IF(ISNUMBER(H17),IF(H17&gt;=0.9,"Satisfactorio",IF(H17&gt;=0.8,"Adecuado",IF(H17&gt;=0.6,"Atención","Insuficiente"))),"No evaluable")</x:f>
        <x:v>Satisfactorio</x:v>
      </x:c>
    </x:row>
    <x:row r="27" ht="25" customHeight="1">
      <x:c r="A27" s="2" t="str">
        <x:v>#SPTH5</x:v>
      </x:c>
      <x:c r="B27" s="2" t="str">
        <x:v>SP del sprint anterior 5</x:v>
      </x:c>
      <x:c r="C27" s="12" t="n">
        <x:f>'Sprint 5'!C26</x:f>
        <x:v>12</x:v>
      </x:c>
      <x:c r="D27" s="2" t="str">
        <x:v>SP</x:v>
      </x:c>
      <x:c r="E27" s="2"/>
      <x:c r="F27" s="2"/>
      <x:c r="G27" s="2" t="str">
        <x:v>Calidad del desempeño</x:v>
      </x:c>
      <x:c r="H27" s="20" t="str">
        <x:f>IF(COUNTIFS(H23:H26,"No evaluable")&gt;0,"No evaluable",IF(COUNTIFS(H23:H26,"Insuficiente")&gt;0,"Baja",IF(COUNTIFS(H23:H26,"Atención")&gt;0,"En atención",IF(COUNTIFS(H23:H26,"Satisfactorio")=4,"Alta","Adecuada"))))</x:f>
        <x:v>Alta</x:v>
      </x:c>
    </x:row>
    <x:row r="28" ht="25" customHeight="1">
      <x:c r="A28" s="2"/>
      <x:c r="B28" s="2"/>
      <x:c r="C28" s="2"/>
      <x:c r="D28" s="2"/>
      <x:c r="E28" s="2"/>
      <x:c r="F28" s="2"/>
      <x:c r="G28" s="2" t="str">
        <x:v>Velocidad relativa</x:v>
      </x:c>
      <x:c r="H28" s="20" t="str">
        <x:f>IF(H19&gt;2,"Alta",IF(H19&lt; -2,"Baja","Promedio"))</x:f>
        <x:v>Alta</x:v>
      </x:c>
    </x:row>
    <x:row r="29" ht="25" customHeight="1">
      <x:c r="A29" s="2"/>
      <x:c r="B29" s="2"/>
      <x:c r="C29" s="2"/>
      <x:c r="D29" s="2"/>
      <x:c r="E29" s="2"/>
      <x:c r="F29" s="2"/>
      <x:c r="G29" s="2" t="str">
        <x:v>Relación velocidad / calidad</x:v>
      </x:c>
      <x:c r="H29" s="20" t="str">
        <x:f>IF(H27="No evaluable","No evaluable",IF(H28="Alta",IF(H27="Alta","Concordancia alta",IF(H27="Adecuada","Concordancia adecuada","Desajuste de calidad")),IF(OR(H27="Alta",H27="Adecuada"),"Calidad sostenida","Desempeño en alerta")))</x:f>
        <x:v>Concordancia alta</x:v>
      </x:c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</x:sheetData>
  <x:dataValidations count="1">
    <x:dataValidation type="list" sqref="D6:D10">
      <x:formula1>"Aceptada,Pendiente"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C4490"/>
  </x:sheetPr>
  <x:sheetViews>
    <x:sheetView showGridLines="0" workbookViewId="0"/>
  </x:sheetViews>
  <x:sheetFormatPr defaultRowHeight="15"/>
  <x:cols>
    <x:col min="1" max="1" width="12.5" hidden="0" customWidth="1"/>
    <x:col min="2" max="2" width="20" hidden="0" customWidth="1"/>
    <x:col min="3" max="3" width="21.25" hidden="0" customWidth="1"/>
    <x:col min="4" max="4" width="32.5" hidden="0" customWidth="1"/>
    <x:col min="5" max="5" width="11.25" hidden="0" customWidth="1"/>
    <x:col min="6" max="6" width="11.25" hidden="0" customWidth="1"/>
    <x:col min="7" max="7" width="11.25" hidden="0" customWidth="1"/>
    <x:col min="8" max="8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Resultados de los 6 sprints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2" t="str">
        <x:v>Dataset simulado · Mismo equipo · Lista de compras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23" t="str">
        <x:v>Sprint</x:v>
      </x:c>
      <x:c r="B5" s="23" t="str">
        <x:v>SP terminados</x:v>
      </x:c>
      <x:c r="C5" s="23" t="str">
        <x:v>Promedio histórico</x:v>
      </x:c>
      <x:c r="D5" s="23" t="str">
        <x:v>Variación (SP)</x:v>
      </x:c>
      <x:c r="E5" s="23" t="str">
        <x:v>GCF</x:v>
      </x:c>
      <x:c r="F5" s="23" t="str">
        <x:v>ICF</x:v>
      </x:c>
      <x:c r="G5" s="23" t="str">
        <x:v>EDD</x:v>
      </x:c>
      <x:c r="H5" s="23" t="str">
        <x:v>IMSD</x:v>
      </x:c>
    </x:row>
    <x:row r="6" ht="30" customHeight="1">
      <x:c r="A6" s="2" t="str">
        <x:v>Sprint 1</x:v>
      </x:c>
      <x:c r="B6" s="24" t="n">
        <x:f>'Sprint 1'!C22</x:f>
        <x:v>12</x:v>
      </x:c>
      <x:c r="C6" s="15" t="n">
        <x:f>'Sprint 1'!H18</x:f>
        <x:v>6</x:v>
      </x:c>
      <x:c r="D6" s="15" t="n">
        <x:f>'Sprint 1'!H19</x:f>
        <x:v>6</x:v>
      </x:c>
      <x:c r="E6" s="13" t="n">
        <x:f>'Sprint 1'!H14</x:f>
        <x:v>1</x:v>
      </x:c>
      <x:c r="F6" s="14" t="n">
        <x:f>'Sprint 1'!H15</x:f>
        <x:v>1</x:v>
      </x:c>
      <x:c r="G6" s="14" t="n">
        <x:f>'Sprint 1'!H16</x:f>
        <x:v>0.5</x:v>
      </x:c>
      <x:c r="H6" s="13" t="n">
        <x:f>'Sprint 1'!H17</x:f>
        <x:v>0.5</x:v>
      </x:c>
    </x:row>
    <x:row r="7" ht="30" customHeight="1">
      <x:c r="A7" s="2" t="str">
        <x:v>Sprint 2</x:v>
      </x:c>
      <x:c r="B7" s="24" t="n">
        <x:f>'Sprint 2'!C22</x:f>
        <x:v>8</x:v>
      </x:c>
      <x:c r="C7" s="15" t="n">
        <x:f>'Sprint 2'!H18</x:f>
        <x:v>7.2</x:v>
      </x:c>
      <x:c r="D7" s="15" t="n">
        <x:f>'Sprint 2'!H19</x:f>
        <x:v>0.7999999999999998</x:v>
      </x:c>
      <x:c r="E7" s="13" t="n">
        <x:f>'Sprint 2'!H14</x:f>
        <x:v>1</x:v>
      </x:c>
      <x:c r="F7" s="14" t="n">
        <x:f>'Sprint 2'!H15</x:f>
        <x:v>1</x:v>
      </x:c>
      <x:c r="G7" s="14" t="n">
        <x:f>'Sprint 2'!H16</x:f>
        <x:v>1</x:v>
      </x:c>
      <x:c r="H7" s="13" t="n">
        <x:f>'Sprint 2'!H17</x:f>
        <x:v>1</x:v>
      </x:c>
    </x:row>
    <x:row r="8" ht="30" customHeight="1">
      <x:c r="A8" s="2" t="str">
        <x:v>Sprint 3</x:v>
      </x:c>
      <x:c r="B8" s="24" t="n">
        <x:f>'Sprint 3'!C22</x:f>
        <x:v>9</x:v>
      </x:c>
      <x:c r="C8" s="15" t="n">
        <x:f>'Sprint 3'!H18</x:f>
        <x:v>7.6</x:v>
      </x:c>
      <x:c r="D8" s="15" t="n">
        <x:f>'Sprint 3'!H19</x:f>
        <x:v>1.4000000000000004</x:v>
      </x:c>
      <x:c r="E8" s="13" t="n">
        <x:f>'Sprint 3'!H14</x:f>
        <x:v>0.6</x:v>
      </x:c>
      <x:c r="F8" s="14" t="n">
        <x:f>'Sprint 3'!H15</x:f>
        <x:v>0.75</x:v>
      </x:c>
      <x:c r="G8" s="14" t="n">
        <x:f>'Sprint 3'!H16</x:f>
        <x:v>0.75</x:v>
      </x:c>
      <x:c r="H8" s="13" t="n">
        <x:f>'Sprint 3'!H17</x:f>
        <x:v>0.6666666666666666</x:v>
      </x:c>
    </x:row>
    <x:row r="9" ht="30" customHeight="1">
      <x:c r="A9" s="2" t="str">
        <x:v>Sprint 4</x:v>
      </x:c>
      <x:c r="B9" s="24" t="n">
        <x:f>'Sprint 4'!C22</x:f>
        <x:v>13</x:v>
      </x:c>
      <x:c r="C9" s="15" t="n">
        <x:f>'Sprint 4'!H18</x:f>
        <x:v>8.2</x:v>
      </x:c>
      <x:c r="D9" s="15" t="n">
        <x:f>'Sprint 4'!H19</x:f>
        <x:v>4.800000000000001</x:v>
      </x:c>
      <x:c r="E9" s="13" t="n">
        <x:f>'Sprint 4'!H14</x:f>
        <x:v>1</x:v>
      </x:c>
      <x:c r="F9" s="14" t="n">
        <x:f>'Sprint 4'!H15</x:f>
        <x:v>1</x:v>
      </x:c>
      <x:c r="G9" s="14" t="n">
        <x:f>'Sprint 4'!H16</x:f>
        <x:v>0.8</x:v>
      </x:c>
      <x:c r="H9" s="13" t="n">
        <x:f>'Sprint 4'!H17</x:f>
        <x:v>1</x:v>
      </x:c>
    </x:row>
    <x:row r="10" ht="30" customHeight="1">
      <x:c r="A10" s="2" t="str">
        <x:v>Sprint 5</x:v>
      </x:c>
      <x:c r="B10" s="24" t="n">
        <x:f>'Sprint 5'!C22</x:f>
        <x:v>5</x:v>
      </x:c>
      <x:c r="C10" s="15" t="n">
        <x:f>'Sprint 5'!H18</x:f>
        <x:v>9.6</x:v>
      </x:c>
      <x:c r="D10" s="15" t="n">
        <x:f>'Sprint 5'!H19</x:f>
        <x:v>-4.6</x:v>
      </x:c>
      <x:c r="E10" s="13" t="n">
        <x:f>'Sprint 5'!H14</x:f>
        <x:v>1</x:v>
      </x:c>
      <x:c r="F10" s="14" t="n">
        <x:f>'Sprint 5'!H15</x:f>
        <x:v>1</x:v>
      </x:c>
      <x:c r="G10" s="14" t="n">
        <x:f>'Sprint 5'!H16</x:f>
        <x:v>1</x:v>
      </x:c>
      <x:c r="H10" s="13" t="n">
        <x:f>'Sprint 5'!H17</x:f>
        <x:v>1</x:v>
      </x:c>
    </x:row>
    <x:row r="11" ht="30" customHeight="1">
      <x:c r="A11" s="2" t="str">
        <x:v>Sprint 6</x:v>
      </x:c>
      <x:c r="B11" s="24" t="n">
        <x:f>'Sprint 6'!C22</x:f>
        <x:v>12</x:v>
      </x:c>
      <x:c r="C11" s="15" t="n">
        <x:f>'Sprint 6'!H18</x:f>
        <x:v>9.4</x:v>
      </x:c>
      <x:c r="D11" s="15" t="n">
        <x:f>'Sprint 6'!H19</x:f>
        <x:v>2.5999999999999996</x:v>
      </x:c>
      <x:c r="E11" s="13" t="n">
        <x:f>'Sprint 6'!H14</x:f>
        <x:v>1</x:v>
      </x:c>
      <x:c r="F11" s="14" t="n">
        <x:f>'Sprint 6'!H15</x:f>
        <x:v>1</x:v>
      </x:c>
      <x:c r="G11" s="14" t="n">
        <x:f>'Sprint 6'!H16</x:f>
        <x:v>1</x:v>
      </x:c>
      <x:c r="H11" s="13" t="n">
        <x:f>'Sprint 6'!H17</x:f>
        <x:v>1</x:v>
      </x:c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3" t="str">
        <x:v>Sprint</x:v>
      </x:c>
      <x:c r="B14" s="23" t="str">
        <x:v>Velocidad</x:v>
      </x:c>
      <x:c r="C14" s="23" t="str">
        <x:v>Calidad del desempeño</x:v>
      </x:c>
      <x:c r="D14" s="23" t="str">
        <x:v>Relación velocidad / calidad</x:v>
      </x:c>
      <x:c r="E14" s="2"/>
      <x:c r="F14" s="25" t="str">
        <x:v>Criterios de lectura</x:v>
      </x:c>
      <x:c r="G14" s="25"/>
      <x:c r="H14" s="25"/>
    </x:row>
    <x:row r="15" ht="25" customHeight="1">
      <x:c r="A15" s="7" t="str">
        <x:v>Sprint 1</x:v>
      </x:c>
      <x:c r="B15" s="7" t="str">
        <x:f>'Sprint 1'!H28</x:f>
        <x:v>Alta</x:v>
      </x:c>
      <x:c r="C15" s="7" t="str">
        <x:f>'Sprint 1'!H27</x:f>
        <x:v>Baja</x:v>
      </x:c>
      <x:c r="D15" s="7" t="str">
        <x:f>'Sprint 1'!H29</x:f>
        <x:v>Desajuste de calidad</x:v>
      </x:c>
      <x:c r="E15" s="2"/>
      <x:c r="F15" s="25"/>
      <x:c r="G15" s="25"/>
      <x:c r="H15" s="25"/>
    </x:row>
    <x:row r="16" ht="30" customHeight="1">
      <x:c r="A16" s="7" t="str">
        <x:v>Sprint 2</x:v>
      </x:c>
      <x:c r="B16" s="7" t="str">
        <x:f>'Sprint 2'!H28</x:f>
        <x:v>Promedio</x:v>
      </x:c>
      <x:c r="C16" s="7" t="str">
        <x:f>'Sprint 2'!H27</x:f>
        <x:v>Alta</x:v>
      </x:c>
      <x:c r="D16" s="7" t="str">
        <x:f>'Sprint 2'!H29</x:f>
        <x:v>Calidad sostenida</x:v>
      </x:c>
      <x:c r="E16" s="2"/>
      <x:c r="F16" s="7" t="str">
        <x:v>GCF: completitud funcional. ICF: corrección funcional. EDD: diagnóstico de defectos. IMSD: modificaciones sin degradación. La calidad reúne estas cuatro dimensiones.</x:v>
      </x:c>
      <x:c r="G16" s="7"/>
      <x:c r="H16" s="7"/>
    </x:row>
    <x:row r="17" ht="30" customHeight="1">
      <x:c r="A17" s="7" t="str">
        <x:v>Sprint 3</x:v>
      </x:c>
      <x:c r="B17" s="7" t="str">
        <x:f>'Sprint 3'!H28</x:f>
        <x:v>Promedio</x:v>
      </x:c>
      <x:c r="C17" s="7" t="str">
        <x:f>'Sprint 3'!H27</x:f>
        <x:v>En atención</x:v>
      </x:c>
      <x:c r="D17" s="7" t="str">
        <x:f>'Sprint 3'!H29</x:f>
        <x:v>Desempeño en alerta</x:v>
      </x:c>
      <x:c r="E17" s="2"/>
      <x:c r="F17" s="7"/>
      <x:c r="G17" s="7"/>
      <x:c r="H17" s="7"/>
    </x:row>
    <x:row r="18" ht="30" customHeight="1">
      <x:c r="A18" s="7" t="str">
        <x:v>Sprint 4</x:v>
      </x:c>
      <x:c r="B18" s="7" t="str">
        <x:f>'Sprint 4'!H28</x:f>
        <x:v>Alta</x:v>
      </x:c>
      <x:c r="C18" s="7" t="str">
        <x:f>'Sprint 4'!H27</x:f>
        <x:v>Adecuada</x:v>
      </x:c>
      <x:c r="D18" s="7" t="str">
        <x:f>'Sprint 4'!H29</x:f>
        <x:v>Concordancia adecuada</x:v>
      </x:c>
      <x:c r="E18" s="2"/>
      <x:c r="F18" s="7"/>
      <x:c r="G18" s="7"/>
      <x:c r="H18" s="7"/>
    </x:row>
    <x:row r="19" ht="30" customHeight="1">
      <x:c r="A19" s="7" t="str">
        <x:v>Sprint 5</x:v>
      </x:c>
      <x:c r="B19" s="7" t="str">
        <x:f>'Sprint 5'!H28</x:f>
        <x:v>Baja</x:v>
      </x:c>
      <x:c r="C19" s="7" t="str">
        <x:f>'Sprint 5'!H27</x:f>
        <x:v>Alta</x:v>
      </x:c>
      <x:c r="D19" s="7" t="str">
        <x:f>'Sprint 5'!H29</x:f>
        <x:v>Calidad sostenida</x:v>
      </x:c>
      <x:c r="E19" s="2"/>
      <x:c r="F19" s="7"/>
      <x:c r="G19" s="7"/>
      <x:c r="H19" s="7"/>
    </x:row>
    <x:row r="20" ht="30" customHeight="1">
      <x:c r="A20" s="7" t="str">
        <x:v>Sprint 6</x:v>
      </x:c>
      <x:c r="B20" s="7" t="str">
        <x:f>'Sprint 6'!H28</x:f>
        <x:v>Alta</x:v>
      </x:c>
      <x:c r="C20" s="7" t="str">
        <x:f>'Sprint 6'!H27</x:f>
        <x:v>Alta</x:v>
      </x:c>
      <x:c r="D20" s="7" t="str">
        <x:f>'Sprint 6'!H29</x:f>
        <x:v>Concordancia alta</x:v>
      </x:c>
      <x:c r="E20" s="2"/>
      <x:c r="F20" s="7"/>
      <x:c r="G20" s="7"/>
      <x:c r="H20" s="7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42" customHeight="1">
      <x:c r="A23" s="23" t="str">
        <x:v>Concordancia alta</x:v>
      </x:c>
      <x:c r="B23" s="23" t="str">
        <x:v>Sprints evaluados</x:v>
      </x:c>
      <x:c r="C23" s="23" t="str">
        <x:v>Porcentaje</x:v>
      </x:c>
      <x:c r="D23" s="23" t="str">
        <x:v>Interpretación final</x:v>
      </x:c>
      <x:c r="E23" s="2"/>
      <x:c r="F23" s="2"/>
      <x:c r="G23" s="2"/>
      <x:c r="H23" s="2"/>
    </x:row>
    <x:row r="24" ht="30" customHeight="1">
      <x:c r="A24" s="26" t="n">
        <x:f>COUNTIFS(D15:D20,"Concordancia alta")</x:f>
        <x:v>1</x:v>
      </x:c>
      <x:c r="B24" s="26" t="n">
        <x:f>COUNTA(A15:A20)</x:f>
        <x:v>6</x:v>
      </x:c>
      <x:c r="C24" s="27" t="n">
        <x:f>A24/B24</x:f>
        <x:v>0.16666666666666666</x:v>
      </x:c>
      <x:c r="D24" s="26" t="str">
        <x:f>IF(C24&lt;0.5,"No adecuado",IF(C24&lt;=0.75,"En atención","Adecuado"))</x:f>
        <x:v>No adecuado</x:v>
      </x:c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  <x:row r="26" ht="30" customHeight="1">
      <x:c r="A26" s="7" t="str">
        <x:f>"Hay "&amp;A24&amp;" de "&amp;B24&amp;" sprints con velocidad Alta y calidad Alta. La concordancia alta es "&amp;TEXT(C24,"0.0%")&amp;", por lo que la interpretación final es "&amp;D24&amp;"."</x:f>
        <x:v>Hay 1 de 6 sprints con velocidad Alta y calidad Alta. La concordancia alta es 16.7%, por lo que la interpretación final es No adecuado.</x:v>
      </x:c>
      <x:c r="B26" s="7"/>
      <x:c r="C26" s="7"/>
      <x:c r="D26" s="7"/>
      <x:c r="E26" s="7"/>
      <x:c r="F26" s="7"/>
      <x:c r="G26" s="7"/>
      <x:c r="H26" s="7"/>
    </x:row>
    <x:row r="27" ht="28" customHeight="1">
      <x:c r="A27" s="7" t="str">
        <x:v>Umbrales finales: No adecuado &lt; 50%. En atención: de 50% a 75%, inclusive. Adecuado &gt; 75%.</x:v>
      </x:c>
      <x:c r="B27" s="7"/>
      <x:c r="C27" s="7"/>
      <x:c r="D27" s="7"/>
      <x:c r="E27" s="7"/>
      <x:c r="F27" s="7"/>
      <x:c r="G27" s="7"/>
      <x:c r="H27" s="7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8" customHeight="1">
      <x:c r="A29" s="29" t="str">
        <x:v>Por qué se obtuvo cada resultado</x:v>
      </x:c>
      <x:c r="B29" s="29"/>
      <x:c r="C29" s="29"/>
      <x:c r="D29" s="29"/>
      <x:c r="E29" s="29"/>
      <x:c r="F29" s="29"/>
      <x:c r="G29" s="29"/>
      <x:c r="H29" s="29"/>
    </x:row>
    <x:row r="30" ht="62" customHeight="1">
      <x:c r="A30" s="26" t="str">
        <x:v>Sprint 1</x:v>
      </x:c>
      <x:c r="B30" s="30" t="str">
        <x:f>"Velocidad "&amp;B15&amp;": "&amp;TEXT(B6,"0")&amp;" SP frente a un promedio histórico de "&amp;TEXT(C6,"0.0")&amp;" SP (variación "&amp;TEXT(D6,"+0.0;-0.0;0.0")&amp;"). GCF "&amp;TEXT(E6,"0.0%")&amp;", ICF "&amp;TEXT(F6,"0.00")&amp;", EDD "&amp;TEXT(G6,"0.00")&amp;" e IMSD "&amp;TEXT(H6,"0.0%")&amp;". Calidad "&amp;C15&amp;": "&amp;IF(C15="Baja","al menos un indicador es insuficiente",IF(C15="En atención","hay indicadores en atención y ninguno insuficiente",IF(C15="Adecuada","todos son adecuados o satisfactorios, pero no todos satisfactorios","los cuatro indicadores son satisfactorios")))&amp;". Resultado: "&amp;D15&amp;"."</x:f>
        <x:v>Velocidad Alta: 12 SP frente a un promedio histórico de 6.0 SP (variación +6.0). GCF 100.0%, ICF 1.00, EDD 0.50 e IMSD 50.0%. Calidad Baja: al menos un indicador es insuficiente. Resultado: Desajuste de calidad.</x:v>
      </x:c>
      <x:c r="C30" s="30"/>
      <x:c r="D30" s="30"/>
      <x:c r="E30" s="30"/>
      <x:c r="F30" s="30"/>
      <x:c r="G30" s="30"/>
      <x:c r="H30" s="30"/>
    </x:row>
    <x:row r="31" ht="62" customHeight="1">
      <x:c r="A31" s="2" t="str">
        <x:v>Sprint 2</x:v>
      </x:c>
      <x:c r="B31" s="7" t="str">
        <x:f>"Velocidad "&amp;B16&amp;": "&amp;TEXT(B7,"0")&amp;" SP frente a un promedio histórico de "&amp;TEXT(C7,"0.0")&amp;" SP (variación "&amp;TEXT(D7,"+0.0;-0.0;0.0")&amp;"). GCF "&amp;TEXT(E7,"0.0%")&amp;", ICF "&amp;TEXT(F7,"0.00")&amp;", EDD "&amp;TEXT(G7,"0.00")&amp;" e IMSD "&amp;TEXT(H7,"0.0%")&amp;". Calidad "&amp;C16&amp;": "&amp;IF(C16="Baja","al menos un indicador es insuficiente",IF(C16="En atención","hay indicadores en atención y ninguno insuficiente",IF(C16="Adecuada","todos son adecuados o satisfactorios, pero no todos satisfactorios","los cuatro indicadores son satisfactorios")))&amp;". Resultado: "&amp;D16&amp;"."</x:f>
        <x:v>Velocidad Promedio: 8 SP frente a un promedio histórico de 7.2 SP (variación +0.8). GCF 100.0%, ICF 1.00, EDD 1.00 e IMSD 100.0%. Calidad Alta: los cuatro indicadores son satisfactorios. Resultado: Calidad sostenida.</x:v>
      </x:c>
      <x:c r="C31" s="7"/>
      <x:c r="D31" s="7"/>
      <x:c r="E31" s="7"/>
      <x:c r="F31" s="7"/>
      <x:c r="G31" s="7"/>
      <x:c r="H31" s="7"/>
    </x:row>
    <x:row r="32" ht="62" customHeight="1">
      <x:c r="A32" s="26" t="str">
        <x:v>Sprint 3</x:v>
      </x:c>
      <x:c r="B32" s="30" t="str">
        <x:f>"Velocidad "&amp;B17&amp;": "&amp;TEXT(B8,"0")&amp;" SP frente a un promedio histórico de "&amp;TEXT(C8,"0.0")&amp;" SP (variación "&amp;TEXT(D8,"+0.0;-0.0;0.0")&amp;"). GCF "&amp;TEXT(E8,"0.0%")&amp;", ICF "&amp;TEXT(F8,"0.00")&amp;", EDD "&amp;TEXT(G8,"0.00")&amp;" e IMSD "&amp;TEXT(H8,"0.0%")&amp;". Calidad "&amp;C17&amp;": "&amp;IF(C17="Baja","al menos un indicador es insuficiente",IF(C17="En atención","hay indicadores en atención y ninguno insuficiente",IF(C17="Adecuada","todos son adecuados o satisfactorios, pero no todos satisfactorios","los cuatro indicadores son satisfactorios")))&amp;". Resultado: "&amp;D17&amp;"."</x:f>
        <x:v>Velocidad Promedio: 9 SP frente a un promedio histórico de 7.6 SP (variación +1.4). GCF 60.0%, ICF 0.75, EDD 0.75 e IMSD 66.7%. Calidad En atención: hay indicadores en atención y ninguno insuficiente. Resultado: Desempeño en alerta.</x:v>
      </x:c>
      <x:c r="C32" s="30"/>
      <x:c r="D32" s="30"/>
      <x:c r="E32" s="30"/>
      <x:c r="F32" s="30"/>
      <x:c r="G32" s="30"/>
      <x:c r="H32" s="30"/>
    </x:row>
    <x:row r="33" ht="62" customHeight="1">
      <x:c r="A33" s="2" t="str">
        <x:v>Sprint 4</x:v>
      </x:c>
      <x:c r="B33" s="7" t="str">
        <x:f>"Velocidad "&amp;B18&amp;": "&amp;TEXT(B9,"0")&amp;" SP frente a un promedio histórico de "&amp;TEXT(C9,"0.0")&amp;" SP (variación "&amp;TEXT(D9,"+0.0;-0.0;0.0")&amp;"). GCF "&amp;TEXT(E9,"0.0%")&amp;", ICF "&amp;TEXT(F9,"0.00")&amp;", EDD "&amp;TEXT(G9,"0.00")&amp;" e IMSD "&amp;TEXT(H9,"0.0%")&amp;". Calidad "&amp;C18&amp;": "&amp;IF(C18="Baja","al menos un indicador es insuficiente",IF(C18="En atención","hay indicadores en atención y ninguno insuficiente",IF(C18="Adecuada","todos son adecuados o satisfactorios, pero no todos satisfactorios","los cuatro indicadores son satisfactorios")))&amp;". Resultado: "&amp;D18&amp;"."</x:f>
        <x:v>Velocidad Alta: 13 SP frente a un promedio histórico de 8.2 SP (variación +4.8). GCF 100.0%, ICF 1.00, EDD 0.80 e IMSD 100.0%. Calidad Adecuada: todos son adecuados o satisfactorios, pero no todos satisfactorios. Resultado: Concordancia adecuada.</x:v>
      </x:c>
      <x:c r="C33" s="7"/>
      <x:c r="D33" s="7"/>
      <x:c r="E33" s="7"/>
      <x:c r="F33" s="7"/>
      <x:c r="G33" s="7"/>
      <x:c r="H33" s="7"/>
    </x:row>
    <x:row r="34" ht="62" customHeight="1">
      <x:c r="A34" s="26" t="str">
        <x:v>Sprint 5</x:v>
      </x:c>
      <x:c r="B34" s="30" t="str">
        <x:f>"Velocidad "&amp;B19&amp;": "&amp;TEXT(B10,"0")&amp;" SP frente a un promedio histórico de "&amp;TEXT(C10,"0.0")&amp;" SP (variación "&amp;TEXT(D10,"+0.0;-0.0;0.0")&amp;"). GCF "&amp;TEXT(E10,"0.0%")&amp;", ICF "&amp;TEXT(F10,"0.00")&amp;", EDD "&amp;TEXT(G10,"0.00")&amp;" e IMSD "&amp;TEXT(H10,"0.0%")&amp;". Calidad "&amp;C19&amp;": "&amp;IF(C19="Baja","al menos un indicador es insuficiente",IF(C19="En atención","hay indicadores en atención y ninguno insuficiente",IF(C19="Adecuada","todos son adecuados o satisfactorios, pero no todos satisfactorios","los cuatro indicadores son satisfactorios")))&amp;". Resultado: "&amp;D19&amp;"."</x:f>
        <x:v>Velocidad Baja: 5 SP frente a un promedio histórico de 9.6 SP (variación -4.6). GCF 100.0%, ICF 1.00, EDD 1.00 e IMSD 100.0%. Calidad Alta: los cuatro indicadores son satisfactorios. Resultado: Calidad sostenida.</x:v>
      </x:c>
      <x:c r="C34" s="30"/>
      <x:c r="D34" s="30"/>
      <x:c r="E34" s="30"/>
      <x:c r="F34" s="30"/>
      <x:c r="G34" s="30"/>
      <x:c r="H34" s="30"/>
    </x:row>
    <x:row r="35" ht="62" customHeight="1">
      <x:c r="A35" s="2" t="str">
        <x:v>Sprint 6</x:v>
      </x:c>
      <x:c r="B35" s="7" t="str">
        <x:f>"Velocidad "&amp;B20&amp;": "&amp;TEXT(B11,"0")&amp;" SP frente a un promedio histórico de "&amp;TEXT(C11,"0.0")&amp;" SP (variación "&amp;TEXT(D11,"+0.0;-0.0;0.0")&amp;"). GCF "&amp;TEXT(E11,"0.0%")&amp;", ICF "&amp;TEXT(F11,"0.00")&amp;", EDD "&amp;TEXT(G11,"0.00")&amp;" e IMSD "&amp;TEXT(H11,"0.0%")&amp;". Calidad "&amp;C20&amp;": "&amp;IF(C20="Baja","al menos un indicador es insuficiente",IF(C20="En atención","hay indicadores en atención y ninguno insuficiente",IF(C20="Adecuada","todos son adecuados o satisfactorios, pero no todos satisfactorios","los cuatro indicadores son satisfactorios")))&amp;". Resultado: "&amp;D20&amp;"."</x:f>
        <x:v>Velocidad Alta: 12 SP frente a un promedio histórico de 9.4 SP (variación +2.6). GCF 100.0%, ICF 1.00, EDD 1.00 e IMSD 100.0%. Calidad Alta: los cuatro indicadores son satisfactorios. Resultado: Concordancia alta.</x:v>
      </x:c>
      <x:c r="C35" s="7"/>
      <x:c r="D35" s="7"/>
      <x:c r="E35" s="7"/>
      <x:c r="F35" s="7"/>
      <x:c r="G35" s="7"/>
      <x:c r="H35" s="7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9" t="str">
        <x:v>Conclusión</x:v>
      </x:c>
      <x:c r="B37" s="9"/>
      <x:c r="C37" s="9"/>
      <x:c r="D37" s="9"/>
      <x:c r="E37" s="9"/>
      <x:c r="F37" s="9"/>
      <x:c r="G37" s="9"/>
      <x:c r="H37" s="9"/>
    </x:row>
    <x:row r="38" ht="24" customHeight="1">
      <x:c r="A38" s="31" t="str">
        <x:v>El grado de velocidad no es una medida suficiente para determinar la calidad del desempeño del sprint.</x:v>
      </x:c>
      <x:c r="B38" s="31"/>
      <x:c r="C38" s="31"/>
      <x:c r="D38" s="31"/>
      <x:c r="E38" s="31"/>
      <x:c r="F38" s="31"/>
      <x:c r="G38" s="31"/>
      <x:c r="H38" s="31"/>
    </x:row>
    <x:row r="39" ht="24" customHeight="1">
      <x:c r="A39" s="31"/>
      <x:c r="B39" s="31"/>
      <x:c r="C39" s="31"/>
      <x:c r="D39" s="31"/>
      <x:c r="E39" s="31"/>
      <x:c r="F39" s="31"/>
      <x:c r="G39" s="31"/>
      <x:c r="H39" s="31"/>
    </x:row>
    <x:row r="40" ht="29" customHeight="1">
      <x:c r="A40" s="7" t="str">
        <x:f>"Los sprints 1 y 6 entregan "&amp;TEXT(B6,"0")&amp;" y "&amp;TEXT(B11,"0")&amp;" SP y tienen velocidad "&amp;B15&amp;" y "&amp;B20&amp;", respectivamente, pero su calidad es "&amp;C15&amp;" y "&amp;C20&amp;". El sprint 5 entrega "&amp;TEXT(B10,"0")&amp;" SP, con velocidad "&amp;B19&amp;" y calidad "&amp;C19&amp;". Estos casos muestran que la velocidad debe acompañarse de las cuatro dimensiones de calidad."</x:f>
        <x:v>Los sprints 1 y 6 entregan 12 y 12 SP y tienen velocidad Alta y Alta, respectivamente, pero su calidad es Baja y Alta. El sprint 5 entrega 5 SP, con velocidad Baja y calidad Alta. Estos casos muestran que la velocidad debe acompañarse de las cuatro dimensiones de calidad.</x:v>
      </x:c>
      <x:c r="B40" s="7"/>
      <x:c r="C40" s="7"/>
      <x:c r="D40" s="7"/>
      <x:c r="E40" s="7"/>
      <x:c r="F40" s="7"/>
      <x:c r="G40" s="7"/>
      <x:c r="H40" s="7"/>
    </x:row>
    <x:row r="41" ht="29" customHeight="1">
      <x:c r="A41" s="7"/>
      <x:c r="B41" s="7"/>
      <x:c r="C41" s="7"/>
      <x:c r="D41" s="7"/>
      <x:c r="E41" s="7"/>
      <x:c r="F41" s="7"/>
      <x:c r="G41" s="7"/>
      <x:c r="H41" s="7"/>
    </x:row>
    <x:row r="42" ht="26" customHeight="1">
      <x:c r="A42" s="7" t="str">
        <x:v>Los datos son simulados para probar el modelo. La conclusión corresponde a estos escenarios.</x:v>
      </x:c>
      <x:c r="B42" s="7"/>
      <x:c r="C42" s="7"/>
      <x:c r="D42" s="7"/>
      <x:c r="E42" s="7"/>
      <x:c r="F42" s="7"/>
      <x:c r="G42" s="7"/>
      <x:c r="H42" s="7"/>
    </x:row>
    <x:row r="44" ht="28" customHeight="1">
      <x:c r="A44" s="32" t="str">
        <x:v>Reglas que explican la clasificación</x:v>
      </x:c>
      <x:c r="B44" s="32"/>
      <x:c r="C44" s="32"/>
      <x:c r="D44" s="32"/>
      <x:c r="E44" s="32"/>
      <x:c r="F44" s="32"/>
      <x:c r="G44" s="32"/>
      <x:c r="H44" s="32"/>
    </x:row>
    <x:row r="45" ht="30" customHeight="1">
      <x:c r="A45" s="33" t="str">
        <x:v>GCF e IMSD: Satisfactorio desde 90%; Adecuado desde 80% hasta menos de 90%; Atención desde 60% hasta menos de 80%; Insuficiente por debajo de 60%.</x:v>
      </x:c>
      <x:c r="B45" s="33"/>
      <x:c r="C45" s="33"/>
      <x:c r="D45" s="33"/>
      <x:c r="E45" s="33"/>
      <x:c r="F45" s="33"/>
      <x:c r="G45" s="33"/>
      <x:c r="H45" s="33"/>
    </x:row>
    <x:row r="46" ht="30" customHeight="1">
      <x:c r="A46" s="33" t="str">
        <x:v>ICF y EDD: Satisfactorio desde 0,90; Adecuado desde 0,80 hasta menos de 0,90; Atención desde 0,65 hasta menos de 0,80; Insuficiente por debajo de 0,65.</x:v>
      </x:c>
      <x:c r="B46" s="33"/>
      <x:c r="C46" s="33"/>
      <x:c r="D46" s="33"/>
      <x:c r="E46" s="33"/>
      <x:c r="F46" s="33"/>
      <x:c r="G46" s="33"/>
      <x:c r="H46" s="33"/>
    </x:row>
    <x:row r="47" ht="36" customHeight="1">
      <x:c r="A47" s="33" t="str">
        <x:v>Calidad: Alta si los cuatro indicadores son satisfactorios. Adecuada si todos son adecuados o satisfactorios. En atención si hay atención y ningún insuficiente. Baja si hay al menos un insuficiente.</x:v>
      </x:c>
      <x:c r="B47" s="33"/>
      <x:c r="C47" s="33"/>
      <x:c r="D47" s="33"/>
      <x:c r="E47" s="33"/>
      <x:c r="F47" s="33"/>
      <x:c r="G47" s="33"/>
      <x:c r="H47" s="33"/>
    </x:row>
    <x:row r="48" ht="32" customHeight="1">
      <x:c r="A48" s="33" t="str">
        <x:v>Velocidad: Alta si la variación supera +2 SP; Promedio entre -2 y +2 SP, inclusive; Baja si es menor que -2 SP. La relación final combina este nivel con la calidad del desempeño.</x:v>
      </x:c>
      <x:c r="B48" s="33"/>
      <x:c r="C48" s="33"/>
      <x:c r="D48" s="33"/>
      <x:c r="E48" s="33"/>
      <x:c r="F48" s="33"/>
      <x:c r="G48" s="33"/>
      <x:c r="H48" s="33"/>
    </x:row>
  </x:sheetData>
  <x:mergeCells>
    <x:mergeCell ref="F14:H15"/>
    <x:mergeCell ref="F16:H20"/>
    <x:mergeCell ref="A26:H26"/>
    <x:mergeCell ref="A27:H27"/>
    <x:mergeCell ref="B30:H30"/>
    <x:mergeCell ref="B31:H31"/>
    <x:mergeCell ref="B32:H32"/>
    <x:mergeCell ref="B33:H33"/>
    <x:mergeCell ref="B34:H34"/>
    <x:mergeCell ref="B35:H35"/>
    <x:mergeCell ref="A38:H39"/>
    <x:mergeCell ref="A40:H41"/>
    <x:mergeCell ref="A42:H42"/>
    <x:mergeCell ref="A45:H45"/>
    <x:mergeCell ref="A46:H46"/>
    <x:mergeCell ref="A47:H47"/>
    <x:mergeCell ref="A48:H48"/>
  </x:mergeCells>
  <x:conditionalFormatting sqref="C15:C20">
    <x:cfRule type="cellIs" dxfId="0" priority="1" operator="equal">
      <x:formula>"Alta"</x:formula>
    </x:cfRule>
    <x:cfRule type="cellIs" dxfId="1" priority="2" operator="equal">
      <x:formula>"Adecuada"</x:formula>
    </x:cfRule>
    <x:cfRule type="cellIs" dxfId="2" priority="3" operator="equal">
      <x:formula>"En atención"</x:formula>
    </x:cfRule>
    <x:cfRule type="cellIs" dxfId="3" priority="4" operator="equal">
      <x:formula>"Baja"</x:formula>
    </x:cfRule>
  </x:conditionalFormatting>
  <x:pageMargins left="0.7" right="0.7" top="0.75" bottom="0.75" header="0.3" footer="0.3"/>
</x:worksheet>
</file>